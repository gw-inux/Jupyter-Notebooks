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resh GitHub Trial\iNUX-Webpage\assets\web_layout\"/>
    </mc:Choice>
  </mc:AlternateContent>
  <xr:revisionPtr revIDLastSave="0" documentId="13_ncr:1_{4AF98AFD-1596-4481-8147-DDE9B737B309}" xr6:coauthVersionLast="47" xr6:coauthVersionMax="47" xr10:uidLastSave="{00000000-0000-0000-0000-000000000000}"/>
  <bookViews>
    <workbookView xWindow="4635" yWindow="-136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I16" i="1"/>
  <c r="M27" i="1" s="1"/>
  <c r="H16" i="1"/>
  <c r="M16" i="1" s="1"/>
  <c r="K15" i="1"/>
  <c r="I15" i="1"/>
  <c r="H15" i="1"/>
  <c r="K58" i="1"/>
  <c r="I58" i="1"/>
  <c r="H58" i="1"/>
  <c r="K57" i="1"/>
  <c r="I57" i="1"/>
  <c r="H57" i="1"/>
  <c r="K56" i="1"/>
  <c r="I56" i="1"/>
  <c r="H56" i="1"/>
  <c r="K55" i="1"/>
  <c r="I55" i="1"/>
  <c r="H55" i="1"/>
  <c r="K54" i="1"/>
  <c r="I54" i="1"/>
  <c r="H54" i="1"/>
  <c r="K53" i="1"/>
  <c r="I53" i="1"/>
  <c r="H53" i="1"/>
  <c r="K52" i="1"/>
  <c r="I52" i="1"/>
  <c r="H52" i="1"/>
  <c r="K51" i="1"/>
  <c r="I51" i="1"/>
  <c r="H51" i="1"/>
  <c r="K50" i="1"/>
  <c r="I50" i="1"/>
  <c r="H50" i="1"/>
  <c r="K49" i="1"/>
  <c r="I49" i="1"/>
  <c r="H49" i="1"/>
  <c r="K48" i="1"/>
  <c r="I48" i="1"/>
  <c r="H48" i="1"/>
  <c r="K47" i="1"/>
  <c r="I47" i="1"/>
  <c r="H47" i="1"/>
  <c r="K46" i="1"/>
  <c r="I46" i="1"/>
  <c r="H46" i="1"/>
  <c r="K45" i="1"/>
  <c r="I45" i="1"/>
  <c r="H45" i="1"/>
  <c r="K44" i="1"/>
  <c r="I44" i="1"/>
  <c r="H44" i="1"/>
  <c r="K43" i="1"/>
  <c r="I43" i="1"/>
  <c r="H43" i="1"/>
  <c r="K42" i="1"/>
  <c r="I42" i="1"/>
  <c r="H42" i="1"/>
  <c r="K41" i="1"/>
  <c r="I41" i="1"/>
  <c r="H41" i="1"/>
  <c r="K40" i="1"/>
  <c r="I40" i="1"/>
  <c r="H40" i="1"/>
  <c r="K39" i="1"/>
  <c r="I39" i="1"/>
  <c r="H39" i="1"/>
  <c r="K38" i="1"/>
  <c r="I38" i="1"/>
  <c r="H38" i="1"/>
  <c r="K37" i="1"/>
  <c r="I37" i="1"/>
  <c r="H37" i="1"/>
  <c r="K36" i="1"/>
  <c r="I36" i="1"/>
  <c r="H36" i="1"/>
  <c r="K35" i="1"/>
  <c r="I35" i="1"/>
  <c r="H35" i="1"/>
  <c r="K34" i="1"/>
  <c r="I34" i="1"/>
  <c r="H34" i="1"/>
  <c r="K33" i="1"/>
  <c r="I33" i="1"/>
  <c r="H33" i="1"/>
  <c r="K32" i="1"/>
  <c r="I32" i="1"/>
  <c r="H32" i="1"/>
  <c r="K31" i="1"/>
  <c r="I31" i="1"/>
  <c r="H31" i="1"/>
  <c r="K30" i="1"/>
  <c r="I30" i="1"/>
  <c r="H30" i="1"/>
  <c r="K29" i="1"/>
  <c r="I29" i="1"/>
  <c r="H29" i="1"/>
  <c r="K28" i="1"/>
  <c r="I28" i="1"/>
  <c r="H28" i="1"/>
  <c r="K27" i="1"/>
  <c r="I27" i="1"/>
  <c r="H27" i="1"/>
  <c r="K26" i="1"/>
  <c r="I26" i="1"/>
  <c r="H26" i="1"/>
  <c r="K25" i="1"/>
  <c r="I25" i="1"/>
  <c r="H25" i="1"/>
  <c r="K24" i="1"/>
  <c r="I24" i="1"/>
  <c r="H24" i="1"/>
  <c r="K23" i="1"/>
  <c r="I23" i="1"/>
  <c r="H23" i="1"/>
  <c r="K22" i="1"/>
  <c r="I22" i="1"/>
  <c r="H22" i="1"/>
  <c r="K21" i="1"/>
  <c r="I21" i="1"/>
  <c r="H21" i="1"/>
  <c r="K20" i="1"/>
  <c r="I20" i="1"/>
  <c r="H20" i="1"/>
  <c r="K19" i="1"/>
  <c r="I19" i="1"/>
  <c r="H19" i="1"/>
  <c r="K18" i="1"/>
  <c r="I18" i="1"/>
  <c r="H18" i="1"/>
  <c r="K17" i="1"/>
  <c r="I17" i="1"/>
  <c r="H17" i="1"/>
  <c r="K14" i="1"/>
  <c r="I14" i="1"/>
  <c r="H14" i="1"/>
  <c r="K13" i="1"/>
  <c r="I13" i="1"/>
  <c r="H13" i="1"/>
  <c r="K12" i="1"/>
  <c r="I12" i="1"/>
  <c r="H12" i="1"/>
  <c r="K11" i="1"/>
  <c r="I11" i="1"/>
  <c r="H11" i="1"/>
  <c r="K10" i="1"/>
  <c r="I10" i="1"/>
  <c r="H10" i="1"/>
  <c r="K9" i="1"/>
  <c r="I9" i="1"/>
  <c r="H9" i="1"/>
  <c r="K8" i="1"/>
  <c r="I8" i="1"/>
  <c r="H8" i="1"/>
  <c r="K7" i="1"/>
  <c r="I7" i="1"/>
  <c r="H7" i="1"/>
  <c r="K6" i="1"/>
  <c r="I6" i="1"/>
  <c r="H6" i="1"/>
  <c r="K5" i="1"/>
  <c r="I5" i="1"/>
  <c r="H5" i="1"/>
  <c r="K4" i="1"/>
  <c r="I4" i="1"/>
  <c r="H4" i="1"/>
  <c r="K3" i="1"/>
  <c r="I3" i="1"/>
  <c r="H3" i="1"/>
  <c r="K2" i="1"/>
  <c r="I2" i="1"/>
  <c r="H2" i="1"/>
  <c r="M29" i="1" l="1"/>
  <c r="M15" i="1"/>
  <c r="M28" i="1"/>
  <c r="M58" i="1"/>
  <c r="M34" i="1"/>
  <c r="M40" i="1"/>
  <c r="M44" i="1"/>
  <c r="M48" i="1"/>
  <c r="M52" i="1"/>
  <c r="M4" i="1"/>
  <c r="M18" i="1"/>
  <c r="M30" i="1"/>
  <c r="M2" i="1"/>
  <c r="M8" i="1"/>
  <c r="M17" i="1"/>
  <c r="M21" i="1"/>
  <c r="M25" i="1"/>
  <c r="M22" i="1"/>
  <c r="M38" i="1"/>
  <c r="M54" i="1"/>
  <c r="M6" i="1"/>
  <c r="M57" i="1"/>
  <c r="M7" i="1"/>
  <c r="M14" i="1"/>
  <c r="M19" i="1"/>
  <c r="M35" i="1"/>
  <c r="M41" i="1"/>
  <c r="M3" i="1"/>
  <c r="M33" i="1"/>
  <c r="M37" i="1"/>
  <c r="M39" i="1"/>
  <c r="M43" i="1"/>
  <c r="M45" i="1"/>
  <c r="M47" i="1"/>
  <c r="M49" i="1"/>
  <c r="M51" i="1"/>
  <c r="M53" i="1"/>
  <c r="M55" i="1"/>
  <c r="M5" i="1"/>
  <c r="M23" i="1"/>
  <c r="M31" i="1"/>
  <c r="M20" i="1"/>
  <c r="M24" i="1"/>
  <c r="M26" i="1"/>
  <c r="M32" i="1"/>
  <c r="M36" i="1"/>
  <c r="M42" i="1"/>
  <c r="M46" i="1"/>
  <c r="M50" i="1"/>
  <c r="M56" i="1"/>
</calcChain>
</file>

<file path=xl/sharedStrings.xml><?xml version="1.0" encoding="utf-8"?>
<sst xmlns="http://schemas.openxmlformats.org/spreadsheetml/2006/main" count="475" uniqueCount="99">
  <si>
    <t>category</t>
  </si>
  <si>
    <t>cat_code</t>
  </si>
  <si>
    <t>subcategory</t>
  </si>
  <si>
    <t>sub_cat_code</t>
  </si>
  <si>
    <t>subsubcategory</t>
  </si>
  <si>
    <t>sub_sub_cat_code</t>
  </si>
  <si>
    <t>lang_code</t>
  </si>
  <si>
    <t>page_id</t>
  </si>
  <si>
    <t>parent_id</t>
  </si>
  <si>
    <t>display_order</t>
  </si>
  <si>
    <t>title</t>
  </si>
  <si>
    <t>layout</t>
  </si>
  <si>
    <t>has_children</t>
  </si>
  <si>
    <t>Water Cycle</t>
  </si>
  <si>
    <t>01</t>
  </si>
  <si>
    <t>homepage</t>
  </si>
  <si>
    <t>00</t>
  </si>
  <si>
    <t>en</t>
  </si>
  <si>
    <t>2</t>
  </si>
  <si>
    <t>home</t>
  </si>
  <si>
    <t>Precipitation &amp; Hydrometeorology</t>
  </si>
  <si>
    <t>1</t>
  </si>
  <si>
    <t>Evaporation Transpiration &amp; ET Processes</t>
  </si>
  <si>
    <t>02</t>
  </si>
  <si>
    <t>Surface Runoff Formation</t>
  </si>
  <si>
    <t>03</t>
  </si>
  <si>
    <t>3</t>
  </si>
  <si>
    <t>Soil Water in the Hydrological Cycle</t>
  </si>
  <si>
    <t>04</t>
  </si>
  <si>
    <t>4</t>
  </si>
  <si>
    <t>Groundwater Recharge (process-based)</t>
  </si>
  <si>
    <t>05</t>
  </si>
  <si>
    <t>5</t>
  </si>
  <si>
    <t>Basic Hydrology</t>
  </si>
  <si>
    <t>Catchment Hydrology &amp; Runoff Generation</t>
  </si>
  <si>
    <t>FALSE</t>
  </si>
  <si>
    <t>Hydrographs &amp; Flow Regimes</t>
  </si>
  <si>
    <t>Water Balance &amp; Hydrologic Budget</t>
  </si>
  <si>
    <t>Surface Water – Groundwater Interaction</t>
  </si>
  <si>
    <t>Hydrological Measurement &amp; Instrumentation</t>
  </si>
  <si>
    <t>Soil Physics</t>
  </si>
  <si>
    <t>Soil Properties</t>
  </si>
  <si>
    <t>Soil waterr etention</t>
  </si>
  <si>
    <t>Unsaturated Flow</t>
  </si>
  <si>
    <t>Hydraulic Conductivity Functions</t>
  </si>
  <si>
    <t>Infiltration (Horton, Green–Ampt, Philip)</t>
  </si>
  <si>
    <t>Basic Hydrogeology</t>
  </si>
  <si>
    <t>Hydrogeological Concepts &amp; Aquifer Types</t>
  </si>
  <si>
    <t>Hydrogeological Properties</t>
  </si>
  <si>
    <t>Steady Groundwater Flow</t>
  </si>
  <si>
    <t>Transient Groundwater Flow</t>
  </si>
  <si>
    <t>Flow to Wells</t>
  </si>
  <si>
    <t>Regional Groundwater Flow Systems</t>
  </si>
  <si>
    <t>06</t>
  </si>
  <si>
    <t>6</t>
  </si>
  <si>
    <t>Recharge &amp; Discharge Areas (conceptual)</t>
  </si>
  <si>
    <t>07</t>
  </si>
  <si>
    <t>7</t>
  </si>
  <si>
    <t>Conceptual Hydrogeological Models</t>
  </si>
  <si>
    <t>08</t>
  </si>
  <si>
    <t>8</t>
  </si>
  <si>
    <t>Applied Hydrogeology</t>
  </si>
  <si>
    <t>Groundwater Management</t>
  </si>
  <si>
    <t>Aquifer Testing</t>
  </si>
  <si>
    <t>Groundwater in Water Supply (well fields collector wells superposition)</t>
  </si>
  <si>
    <t>Karst Hydrogeology</t>
  </si>
  <si>
    <t>Freshwater–Saltwater Interaction</t>
  </si>
  <si>
    <t>Conservative Solute Transport</t>
  </si>
  <si>
    <t>Reactive Transport</t>
  </si>
  <si>
    <t>Groundwater Contamination &amp; Remediation</t>
  </si>
  <si>
    <t>Managed Aquifer Recharge (MAR)</t>
  </si>
  <si>
    <t>09</t>
  </si>
  <si>
    <t>9</t>
  </si>
  <si>
    <t>Groundwater–Surface Water Ecology &amp; Dependent Ecosystems</t>
  </si>
  <si>
    <t>10</t>
  </si>
  <si>
    <t>Climate Change Impacts &amp; Groundwater Sustainability</t>
  </si>
  <si>
    <t>11</t>
  </si>
  <si>
    <t>Groundwater Chemistry &amp; Geochemistry</t>
  </si>
  <si>
    <t>12</t>
  </si>
  <si>
    <t>Environmental Tracers &amp; Isotope Hydrogeology</t>
  </si>
  <si>
    <t>13</t>
  </si>
  <si>
    <t>Groundwater Heat Flow &amp; Geothermal Systems</t>
  </si>
  <si>
    <t>14</t>
  </si>
  <si>
    <t>Field &amp; Subsurface Investigation Methods (drilling, logging, geophysics)</t>
  </si>
  <si>
    <t>15</t>
  </si>
  <si>
    <t>Ground Water Modelling</t>
  </si>
  <si>
    <t>Conceptual Model Development</t>
  </si>
  <si>
    <t>Numerical Schemes (FD</t>
  </si>
  <si>
    <t>Flow Modelling</t>
  </si>
  <si>
    <t>Transport Modelling</t>
  </si>
  <si>
    <t>Coupled Models (density</t>
  </si>
  <si>
    <t>Parameter Estimation &amp; Calibration</t>
  </si>
  <si>
    <t>Sensitivity &amp; Uncertainty Analysis</t>
  </si>
  <si>
    <t>Model Validation &amp; Verification</t>
  </si>
  <si>
    <t>MODFLOW Packages &amp; Tools</t>
  </si>
  <si>
    <t>Data-Driven &amp; Machine Learning Approaches</t>
  </si>
  <si>
    <t>Scenario Analysis &amp; Decision-Support Modelling</t>
  </si>
  <si>
    <t>Geostatistics &amp; Spatial Variability in Modelling</t>
  </si>
  <si>
    <t>Soil Texture 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</si>
</sst>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444746"/>
      <name val="&quot;Google Sans Text&quot;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9" fontId="3" fillId="0" borderId="0" xfId="0" applyNumberFormat="1" applyFont="1"/>
    <xf numFmtId="0" fontId="2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8"/>
  <sheetViews>
    <sheetView tabSelected="1" workbookViewId="0">
      <pane ySplit="1" topLeftCell="A2" activePane="bottomLeft" state="frozen"/>
      <selection pane="bottomLeft" activeCell="A15" activeCellId="1" sqref="A16:XFD16 A15:XFD15"/>
    </sheetView>
  </sheetViews>
  <sheetFormatPr defaultColWidth="12.6328125" defaultRowHeight="15.75" customHeight="1"/>
  <cols>
    <col min="1" max="1" width="21" customWidth="1"/>
    <col min="3" max="3" width="53.7265625" customWidth="1"/>
    <col min="5" max="5" width="14.26953125" customWidth="1"/>
    <col min="6" max="6" width="16" customWidth="1"/>
    <col min="8" max="8" width="11.08984375" customWidth="1"/>
    <col min="11" max="11" width="20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 t="s">
        <v>13</v>
      </c>
      <c r="B2" s="3" t="s">
        <v>14</v>
      </c>
      <c r="C2" s="4" t="s">
        <v>15</v>
      </c>
      <c r="D2" s="3" t="s">
        <v>16</v>
      </c>
      <c r="E2" s="3"/>
      <c r="F2" s="3" t="s">
        <v>16</v>
      </c>
      <c r="G2" s="3" t="s">
        <v>17</v>
      </c>
      <c r="H2" s="3" t="str">
        <f t="shared" ref="H2:H58" si="0">CONCATENATE($B2,$D2,$F2,"_",$G2)</f>
        <v>010000_en</v>
      </c>
      <c r="I2" s="3" t="str">
        <f t="shared" ref="I2:I58" si="1">IF(
  AND($D2="00",$F2="00"),
  "",
  IF(
    AND($D2&lt;&gt;"00",$F2="00"),
    CONCATENATE($B2,"00","00","_",$G2),
    CONCATENATE($B2,$D2,"00","_",$G2)
  )
)</f>
        <v/>
      </c>
      <c r="J2" s="3" t="s">
        <v>18</v>
      </c>
      <c r="K2" s="3" t="str">
        <f t="shared" ref="K2:K58" si="2">IF(
  $C2="homepage",
  $A2,
  IF($E2&lt;&gt;"",$E2,$C2)
)</f>
        <v>Water Cycle</v>
      </c>
      <c r="L2" s="3" t="s">
        <v>19</v>
      </c>
      <c r="M2" s="3" t="str">
        <f>IF(COUNTIF($I$2:$I$1025,$H2)&gt;0,"TRUE","FALSE")</f>
        <v>TRUE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5" t="s">
        <v>13</v>
      </c>
      <c r="B3" s="5" t="s">
        <v>14</v>
      </c>
      <c r="C3" s="6" t="s">
        <v>20</v>
      </c>
      <c r="D3" s="5" t="s">
        <v>14</v>
      </c>
      <c r="E3" s="7"/>
      <c r="F3" s="5" t="s">
        <v>16</v>
      </c>
      <c r="G3" s="5" t="s">
        <v>17</v>
      </c>
      <c r="H3" s="3" t="str">
        <f t="shared" si="0"/>
        <v>010100_en</v>
      </c>
      <c r="I3" s="3" t="str">
        <f t="shared" si="1"/>
        <v>010000_en</v>
      </c>
      <c r="J3" s="5" t="s">
        <v>21</v>
      </c>
      <c r="K3" s="3" t="str">
        <f t="shared" si="2"/>
        <v>Precipitation &amp; Hydrometeorology</v>
      </c>
      <c r="L3" s="3" t="s">
        <v>19</v>
      </c>
      <c r="M3" s="5" t="str">
        <f t="shared" ref="M3:M7" si="3">IF(COUNTIF($I$2:$I$1020,$H3)&gt;0,"TRUE","FALSE")</f>
        <v>FALSE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5" t="s">
        <v>13</v>
      </c>
      <c r="B4" s="5" t="s">
        <v>14</v>
      </c>
      <c r="C4" s="6" t="s">
        <v>22</v>
      </c>
      <c r="D4" s="5" t="s">
        <v>23</v>
      </c>
      <c r="E4" s="7"/>
      <c r="F4" s="5" t="s">
        <v>16</v>
      </c>
      <c r="G4" s="5" t="s">
        <v>17</v>
      </c>
      <c r="H4" s="3" t="str">
        <f t="shared" si="0"/>
        <v>010200_en</v>
      </c>
      <c r="I4" s="3" t="str">
        <f t="shared" si="1"/>
        <v>010000_en</v>
      </c>
      <c r="J4" s="5" t="s">
        <v>18</v>
      </c>
      <c r="K4" s="3" t="str">
        <f t="shared" si="2"/>
        <v>Evaporation Transpiration &amp; ET Processes</v>
      </c>
      <c r="L4" s="3" t="s">
        <v>19</v>
      </c>
      <c r="M4" s="5" t="str">
        <f t="shared" si="3"/>
        <v>FALSE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5" t="s">
        <v>13</v>
      </c>
      <c r="B5" s="5" t="s">
        <v>14</v>
      </c>
      <c r="C5" s="6" t="s">
        <v>24</v>
      </c>
      <c r="D5" s="5" t="s">
        <v>25</v>
      </c>
      <c r="E5" s="7"/>
      <c r="F5" s="5" t="s">
        <v>16</v>
      </c>
      <c r="G5" s="5" t="s">
        <v>17</v>
      </c>
      <c r="H5" s="3" t="str">
        <f t="shared" si="0"/>
        <v>010300_en</v>
      </c>
      <c r="I5" s="3" t="str">
        <f t="shared" si="1"/>
        <v>010000_en</v>
      </c>
      <c r="J5" s="5" t="s">
        <v>26</v>
      </c>
      <c r="K5" s="3" t="str">
        <f t="shared" si="2"/>
        <v>Surface Runoff Formation</v>
      </c>
      <c r="L5" s="3" t="s">
        <v>19</v>
      </c>
      <c r="M5" s="5" t="str">
        <f t="shared" si="3"/>
        <v>FALSE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5" t="s">
        <v>13</v>
      </c>
      <c r="B6" s="5" t="s">
        <v>14</v>
      </c>
      <c r="C6" s="6" t="s">
        <v>27</v>
      </c>
      <c r="D6" s="5" t="s">
        <v>28</v>
      </c>
      <c r="E6" s="7"/>
      <c r="F6" s="5" t="s">
        <v>16</v>
      </c>
      <c r="G6" s="5" t="s">
        <v>17</v>
      </c>
      <c r="H6" s="3" t="str">
        <f t="shared" si="0"/>
        <v>010400_en</v>
      </c>
      <c r="I6" s="3" t="str">
        <f t="shared" si="1"/>
        <v>010000_en</v>
      </c>
      <c r="J6" s="5" t="s">
        <v>29</v>
      </c>
      <c r="K6" s="3" t="str">
        <f t="shared" si="2"/>
        <v>Soil Water in the Hydrological Cycle</v>
      </c>
      <c r="L6" s="3" t="s">
        <v>19</v>
      </c>
      <c r="M6" s="5" t="str">
        <f t="shared" si="3"/>
        <v>FALSE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5" t="s">
        <v>13</v>
      </c>
      <c r="B7" s="5" t="s">
        <v>14</v>
      </c>
      <c r="C7" s="6" t="s">
        <v>30</v>
      </c>
      <c r="D7" s="5" t="s">
        <v>31</v>
      </c>
      <c r="E7" s="7"/>
      <c r="F7" s="5" t="s">
        <v>16</v>
      </c>
      <c r="G7" s="5" t="s">
        <v>17</v>
      </c>
      <c r="H7" s="3" t="str">
        <f t="shared" si="0"/>
        <v>010500_en</v>
      </c>
      <c r="I7" s="3" t="str">
        <f t="shared" si="1"/>
        <v>010000_en</v>
      </c>
      <c r="J7" s="5" t="s">
        <v>32</v>
      </c>
      <c r="K7" s="3" t="str">
        <f t="shared" si="2"/>
        <v>Groundwater Recharge (process-based)</v>
      </c>
      <c r="L7" s="3" t="s">
        <v>19</v>
      </c>
      <c r="M7" s="5" t="str">
        <f t="shared" si="3"/>
        <v>FALSE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3" t="s">
        <v>33</v>
      </c>
      <c r="B8" s="3" t="s">
        <v>23</v>
      </c>
      <c r="C8" s="4" t="s">
        <v>15</v>
      </c>
      <c r="D8" s="3" t="s">
        <v>16</v>
      </c>
      <c r="E8" s="3"/>
      <c r="F8" s="5" t="s">
        <v>16</v>
      </c>
      <c r="G8" s="3" t="s">
        <v>17</v>
      </c>
      <c r="H8" s="3" t="str">
        <f t="shared" si="0"/>
        <v>020000_en</v>
      </c>
      <c r="I8" s="3" t="str">
        <f t="shared" si="1"/>
        <v/>
      </c>
      <c r="J8" s="3" t="s">
        <v>26</v>
      </c>
      <c r="K8" s="3" t="str">
        <f t="shared" si="2"/>
        <v>Basic Hydrology</v>
      </c>
      <c r="L8" s="3" t="s">
        <v>19</v>
      </c>
      <c r="M8" s="3" t="str">
        <f>IF(COUNTIF($I$2:$I$1025,$H8)&gt;0,"TRUE","FALSE")</f>
        <v>TRUE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33</v>
      </c>
      <c r="B9" s="3" t="s">
        <v>23</v>
      </c>
      <c r="C9" s="6" t="s">
        <v>34</v>
      </c>
      <c r="D9" s="5" t="s">
        <v>14</v>
      </c>
      <c r="E9" s="3"/>
      <c r="F9" s="5" t="s">
        <v>16</v>
      </c>
      <c r="G9" s="3" t="s">
        <v>17</v>
      </c>
      <c r="H9" s="3" t="str">
        <f t="shared" si="0"/>
        <v>020100_en</v>
      </c>
      <c r="I9" s="3" t="str">
        <f t="shared" si="1"/>
        <v>020000_en</v>
      </c>
      <c r="J9" s="3" t="s">
        <v>21</v>
      </c>
      <c r="K9" s="3" t="str">
        <f t="shared" si="2"/>
        <v>Catchment Hydrology &amp; Runoff Generation</v>
      </c>
      <c r="L9" s="3" t="s">
        <v>19</v>
      </c>
      <c r="M9" s="3" t="s">
        <v>35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33</v>
      </c>
      <c r="B10" s="3" t="s">
        <v>23</v>
      </c>
      <c r="C10" s="6" t="s">
        <v>36</v>
      </c>
      <c r="D10" s="5" t="s">
        <v>23</v>
      </c>
      <c r="E10" s="3"/>
      <c r="F10" s="5" t="s">
        <v>16</v>
      </c>
      <c r="G10" s="3" t="s">
        <v>17</v>
      </c>
      <c r="H10" s="3" t="str">
        <f t="shared" si="0"/>
        <v>020200_en</v>
      </c>
      <c r="I10" s="3" t="str">
        <f t="shared" si="1"/>
        <v>020000_en</v>
      </c>
      <c r="J10" s="3" t="s">
        <v>18</v>
      </c>
      <c r="K10" s="3" t="str">
        <f t="shared" si="2"/>
        <v>Hydrographs &amp; Flow Regimes</v>
      </c>
      <c r="L10" s="3" t="s">
        <v>19</v>
      </c>
      <c r="M10" s="3" t="s">
        <v>35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33</v>
      </c>
      <c r="B11" s="3" t="s">
        <v>23</v>
      </c>
      <c r="C11" s="6" t="s">
        <v>37</v>
      </c>
      <c r="D11" s="5" t="s">
        <v>25</v>
      </c>
      <c r="E11" s="3"/>
      <c r="F11" s="5" t="s">
        <v>16</v>
      </c>
      <c r="G11" s="3" t="s">
        <v>17</v>
      </c>
      <c r="H11" s="3" t="str">
        <f t="shared" si="0"/>
        <v>020300_en</v>
      </c>
      <c r="I11" s="3" t="str">
        <f t="shared" si="1"/>
        <v>020000_en</v>
      </c>
      <c r="J11" s="3" t="s">
        <v>26</v>
      </c>
      <c r="K11" s="3" t="str">
        <f t="shared" si="2"/>
        <v>Water Balance &amp; Hydrologic Budget</v>
      </c>
      <c r="L11" s="3" t="s">
        <v>19</v>
      </c>
      <c r="M11" s="3" t="s">
        <v>35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 t="s">
        <v>33</v>
      </c>
      <c r="B12" s="3" t="s">
        <v>23</v>
      </c>
      <c r="C12" s="6" t="s">
        <v>38</v>
      </c>
      <c r="D12" s="5" t="s">
        <v>28</v>
      </c>
      <c r="E12" s="3"/>
      <c r="F12" s="5" t="s">
        <v>16</v>
      </c>
      <c r="G12" s="3" t="s">
        <v>17</v>
      </c>
      <c r="H12" s="3" t="str">
        <f t="shared" si="0"/>
        <v>020400_en</v>
      </c>
      <c r="I12" s="3" t="str">
        <f t="shared" si="1"/>
        <v>020000_en</v>
      </c>
      <c r="J12" s="3" t="s">
        <v>29</v>
      </c>
      <c r="K12" s="3" t="str">
        <f t="shared" si="2"/>
        <v>Surface Water – Groundwater Interaction</v>
      </c>
      <c r="L12" s="3" t="s">
        <v>19</v>
      </c>
      <c r="M12" s="3" t="s">
        <v>35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 t="s">
        <v>33</v>
      </c>
      <c r="B13" s="3" t="s">
        <v>23</v>
      </c>
      <c r="C13" s="6" t="s">
        <v>39</v>
      </c>
      <c r="D13" s="5" t="s">
        <v>31</v>
      </c>
      <c r="E13" s="3"/>
      <c r="F13" s="3" t="s">
        <v>16</v>
      </c>
      <c r="G13" s="3" t="s">
        <v>17</v>
      </c>
      <c r="H13" s="3" t="str">
        <f t="shared" si="0"/>
        <v>020500_en</v>
      </c>
      <c r="I13" s="3" t="str">
        <f t="shared" si="1"/>
        <v>020000_en</v>
      </c>
      <c r="J13" s="3" t="s">
        <v>32</v>
      </c>
      <c r="K13" s="3" t="str">
        <f t="shared" si="2"/>
        <v>Hydrological Measurement &amp; Instrumentation</v>
      </c>
      <c r="L13" s="3" t="s">
        <v>19</v>
      </c>
      <c r="M13" s="3" t="s">
        <v>35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 t="s">
        <v>40</v>
      </c>
      <c r="B14" s="3" t="s">
        <v>25</v>
      </c>
      <c r="C14" s="4" t="s">
        <v>15</v>
      </c>
      <c r="D14" s="3" t="s">
        <v>16</v>
      </c>
      <c r="E14" s="3"/>
      <c r="F14" s="5" t="s">
        <v>16</v>
      </c>
      <c r="G14" s="3" t="s">
        <v>17</v>
      </c>
      <c r="H14" s="3" t="str">
        <f t="shared" si="0"/>
        <v>030000_en</v>
      </c>
      <c r="I14" s="3" t="str">
        <f t="shared" si="1"/>
        <v/>
      </c>
      <c r="J14" s="3" t="s">
        <v>29</v>
      </c>
      <c r="K14" s="3" t="str">
        <f t="shared" si="2"/>
        <v>Soil Physics</v>
      </c>
      <c r="L14" s="3" t="s">
        <v>19</v>
      </c>
      <c r="M14" s="3" t="str">
        <f t="shared" ref="M14:M26" si="4">IF(COUNTIF($I$2:$I$1025,$H14)&gt;0,"TRUE","FALSE")</f>
        <v>TRUE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 customHeight="1">
      <c r="A15" s="3" t="s">
        <v>40</v>
      </c>
      <c r="B15" s="3" t="s">
        <v>25</v>
      </c>
      <c r="C15" s="4" t="s">
        <v>41</v>
      </c>
      <c r="D15" s="5" t="s">
        <v>14</v>
      </c>
      <c r="E15" s="3"/>
      <c r="F15" s="5" t="s">
        <v>16</v>
      </c>
      <c r="G15" s="3" t="s">
        <v>17</v>
      </c>
      <c r="H15" s="3" t="str">
        <f t="shared" si="0"/>
        <v>030100_en</v>
      </c>
      <c r="I15" s="3" t="str">
        <f t="shared" si="1"/>
        <v>030000_en</v>
      </c>
      <c r="J15" s="3" t="s">
        <v>21</v>
      </c>
      <c r="K15" s="3" t="str">
        <f t="shared" si="2"/>
        <v>Soil Properties</v>
      </c>
      <c r="L15" s="3" t="s">
        <v>19</v>
      </c>
      <c r="M15" s="3" t="str">
        <f t="shared" si="4"/>
        <v>TRUE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 customHeight="1">
      <c r="A16" s="3" t="s">
        <v>40</v>
      </c>
      <c r="B16" s="3" t="s">
        <v>25</v>
      </c>
      <c r="C16" s="4" t="s">
        <v>41</v>
      </c>
      <c r="D16" s="5" t="s">
        <v>14</v>
      </c>
      <c r="E16" s="3" t="s">
        <v>98</v>
      </c>
      <c r="F16" s="5" t="s">
        <v>14</v>
      </c>
      <c r="G16" s="3" t="s">
        <v>17</v>
      </c>
      <c r="H16" s="3" t="str">
        <f t="shared" si="0"/>
        <v>030101_en</v>
      </c>
      <c r="I16" s="3" t="str">
        <f t="shared" si="1"/>
        <v>030100_en</v>
      </c>
      <c r="J16" s="3" t="s">
        <v>21</v>
      </c>
      <c r="K16" s="3" t="str">
        <f t="shared" si="2"/>
        <v>Soil Texture Triangle</v>
      </c>
      <c r="L16" s="3" t="s">
        <v>19</v>
      </c>
      <c r="M16" s="3" t="str">
        <f t="shared" si="4"/>
        <v>FALSE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 t="s">
        <v>40</v>
      </c>
      <c r="B17" s="3" t="s">
        <v>25</v>
      </c>
      <c r="C17" s="4" t="s">
        <v>42</v>
      </c>
      <c r="D17" s="5" t="s">
        <v>23</v>
      </c>
      <c r="E17" s="3"/>
      <c r="F17" s="5" t="s">
        <v>16</v>
      </c>
      <c r="G17" s="3" t="s">
        <v>17</v>
      </c>
      <c r="H17" s="3" t="str">
        <f t="shared" si="0"/>
        <v>030200_en</v>
      </c>
      <c r="I17" s="3" t="str">
        <f t="shared" si="1"/>
        <v>030000_en</v>
      </c>
      <c r="J17" s="3" t="s">
        <v>18</v>
      </c>
      <c r="K17" s="3" t="str">
        <f t="shared" si="2"/>
        <v>Soil waterr etention</v>
      </c>
      <c r="L17" s="3" t="s">
        <v>19</v>
      </c>
      <c r="M17" s="3" t="str">
        <f t="shared" si="4"/>
        <v>FALSE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 t="s">
        <v>40</v>
      </c>
      <c r="B18" s="3" t="s">
        <v>25</v>
      </c>
      <c r="C18" s="4" t="s">
        <v>43</v>
      </c>
      <c r="D18" s="5" t="s">
        <v>25</v>
      </c>
      <c r="E18" s="3"/>
      <c r="F18" s="5" t="s">
        <v>16</v>
      </c>
      <c r="G18" s="3" t="s">
        <v>17</v>
      </c>
      <c r="H18" s="3" t="str">
        <f t="shared" si="0"/>
        <v>030300_en</v>
      </c>
      <c r="I18" s="3" t="str">
        <f t="shared" si="1"/>
        <v>030000_en</v>
      </c>
      <c r="J18" s="3" t="s">
        <v>26</v>
      </c>
      <c r="K18" s="3" t="str">
        <f t="shared" si="2"/>
        <v>Unsaturated Flow</v>
      </c>
      <c r="L18" s="3" t="s">
        <v>19</v>
      </c>
      <c r="M18" s="3" t="str">
        <f t="shared" si="4"/>
        <v>FALSE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 t="s">
        <v>40</v>
      </c>
      <c r="B19" s="3" t="s">
        <v>25</v>
      </c>
      <c r="C19" s="4" t="s">
        <v>44</v>
      </c>
      <c r="D19" s="5" t="s">
        <v>28</v>
      </c>
      <c r="E19" s="3"/>
      <c r="F19" s="3" t="s">
        <v>16</v>
      </c>
      <c r="G19" s="3" t="s">
        <v>17</v>
      </c>
      <c r="H19" s="3" t="str">
        <f t="shared" si="0"/>
        <v>030400_en</v>
      </c>
      <c r="I19" s="3" t="str">
        <f t="shared" si="1"/>
        <v>030000_en</v>
      </c>
      <c r="J19" s="3" t="s">
        <v>29</v>
      </c>
      <c r="K19" s="3" t="str">
        <f t="shared" si="2"/>
        <v>Hydraulic Conductivity Functions</v>
      </c>
      <c r="L19" s="3" t="s">
        <v>19</v>
      </c>
      <c r="M19" s="3" t="str">
        <f t="shared" si="4"/>
        <v>FALSE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40</v>
      </c>
      <c r="B20" s="3" t="s">
        <v>25</v>
      </c>
      <c r="C20" s="4" t="s">
        <v>45</v>
      </c>
      <c r="D20" s="5" t="s">
        <v>31</v>
      </c>
      <c r="E20" s="3"/>
      <c r="F20" s="5" t="s">
        <v>16</v>
      </c>
      <c r="G20" s="3" t="s">
        <v>17</v>
      </c>
      <c r="H20" s="3" t="str">
        <f t="shared" si="0"/>
        <v>030500_en</v>
      </c>
      <c r="I20" s="3" t="str">
        <f t="shared" si="1"/>
        <v>030000_en</v>
      </c>
      <c r="J20" s="3" t="s">
        <v>32</v>
      </c>
      <c r="K20" s="3" t="str">
        <f t="shared" si="2"/>
        <v>Infiltration (Horton, Green–Ampt, Philip)</v>
      </c>
      <c r="L20" s="3" t="s">
        <v>19</v>
      </c>
      <c r="M20" s="3" t="str">
        <f t="shared" si="4"/>
        <v>FALSE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 t="s">
        <v>46</v>
      </c>
      <c r="B21" s="3" t="s">
        <v>28</v>
      </c>
      <c r="C21" s="8" t="s">
        <v>15</v>
      </c>
      <c r="D21" s="3" t="s">
        <v>16</v>
      </c>
      <c r="E21" s="3"/>
      <c r="F21" s="5" t="s">
        <v>16</v>
      </c>
      <c r="G21" s="3" t="s">
        <v>17</v>
      </c>
      <c r="H21" s="3" t="str">
        <f t="shared" si="0"/>
        <v>040000_en</v>
      </c>
      <c r="I21" s="3" t="str">
        <f t="shared" si="1"/>
        <v/>
      </c>
      <c r="J21" s="3" t="s">
        <v>32</v>
      </c>
      <c r="K21" s="3" t="str">
        <f t="shared" si="2"/>
        <v>Basic Hydrogeology</v>
      </c>
      <c r="L21" s="3" t="s">
        <v>19</v>
      </c>
      <c r="M21" s="3" t="str">
        <f t="shared" si="4"/>
        <v>TRUE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 t="s">
        <v>46</v>
      </c>
      <c r="B22" s="3" t="s">
        <v>28</v>
      </c>
      <c r="C22" s="9" t="s">
        <v>47</v>
      </c>
      <c r="D22" s="3" t="s">
        <v>14</v>
      </c>
      <c r="E22" s="3"/>
      <c r="F22" s="5" t="s">
        <v>16</v>
      </c>
      <c r="G22" s="3" t="s">
        <v>17</v>
      </c>
      <c r="H22" s="3" t="str">
        <f t="shared" si="0"/>
        <v>040100_en</v>
      </c>
      <c r="I22" s="3" t="str">
        <f t="shared" si="1"/>
        <v>040000_en</v>
      </c>
      <c r="J22" s="3" t="s">
        <v>21</v>
      </c>
      <c r="K22" s="3" t="str">
        <f t="shared" si="2"/>
        <v>Hydrogeological Concepts &amp; Aquifer Types</v>
      </c>
      <c r="L22" s="3" t="s">
        <v>19</v>
      </c>
      <c r="M22" s="3" t="str">
        <f t="shared" si="4"/>
        <v>FALSE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 t="s">
        <v>46</v>
      </c>
      <c r="B23" s="3" t="s">
        <v>28</v>
      </c>
      <c r="C23" s="9" t="s">
        <v>48</v>
      </c>
      <c r="D23" s="3" t="s">
        <v>23</v>
      </c>
      <c r="E23" s="3"/>
      <c r="F23" s="5" t="s">
        <v>16</v>
      </c>
      <c r="G23" s="3" t="s">
        <v>17</v>
      </c>
      <c r="H23" s="3" t="str">
        <f t="shared" si="0"/>
        <v>040200_en</v>
      </c>
      <c r="I23" s="3" t="str">
        <f t="shared" si="1"/>
        <v>040000_en</v>
      </c>
      <c r="J23" s="3" t="s">
        <v>18</v>
      </c>
      <c r="K23" s="3" t="str">
        <f t="shared" si="2"/>
        <v>Hydrogeological Properties</v>
      </c>
      <c r="L23" s="3" t="s">
        <v>19</v>
      </c>
      <c r="M23" s="3" t="str">
        <f t="shared" si="4"/>
        <v>FALSE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 t="s">
        <v>46</v>
      </c>
      <c r="B24" s="3" t="s">
        <v>28</v>
      </c>
      <c r="C24" s="9" t="s">
        <v>49</v>
      </c>
      <c r="D24" s="3" t="s">
        <v>25</v>
      </c>
      <c r="E24" s="3"/>
      <c r="F24" s="3" t="s">
        <v>16</v>
      </c>
      <c r="G24" s="3" t="s">
        <v>17</v>
      </c>
      <c r="H24" s="3" t="str">
        <f t="shared" si="0"/>
        <v>040300_en</v>
      </c>
      <c r="I24" s="3" t="str">
        <f t="shared" si="1"/>
        <v>040000_en</v>
      </c>
      <c r="J24" s="3" t="s">
        <v>26</v>
      </c>
      <c r="K24" s="3" t="str">
        <f t="shared" si="2"/>
        <v>Steady Groundwater Flow</v>
      </c>
      <c r="L24" s="3" t="s">
        <v>19</v>
      </c>
      <c r="M24" s="3" t="str">
        <f t="shared" si="4"/>
        <v>FALSE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 t="s">
        <v>46</v>
      </c>
      <c r="B25" s="3" t="s">
        <v>28</v>
      </c>
      <c r="C25" s="9" t="s">
        <v>50</v>
      </c>
      <c r="D25" s="3" t="s">
        <v>28</v>
      </c>
      <c r="E25" s="3"/>
      <c r="F25" s="5" t="s">
        <v>16</v>
      </c>
      <c r="G25" s="3" t="s">
        <v>17</v>
      </c>
      <c r="H25" s="3" t="str">
        <f t="shared" si="0"/>
        <v>040400_en</v>
      </c>
      <c r="I25" s="3" t="str">
        <f t="shared" si="1"/>
        <v>040000_en</v>
      </c>
      <c r="J25" s="3" t="s">
        <v>29</v>
      </c>
      <c r="K25" s="3" t="str">
        <f t="shared" si="2"/>
        <v>Transient Groundwater Flow</v>
      </c>
      <c r="L25" s="3" t="s">
        <v>19</v>
      </c>
      <c r="M25" s="3" t="str">
        <f t="shared" si="4"/>
        <v>FALSE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 t="s">
        <v>46</v>
      </c>
      <c r="B26" s="3" t="s">
        <v>28</v>
      </c>
      <c r="C26" s="9" t="s">
        <v>51</v>
      </c>
      <c r="D26" s="3" t="s">
        <v>31</v>
      </c>
      <c r="E26" s="3"/>
      <c r="F26" s="5" t="s">
        <v>16</v>
      </c>
      <c r="G26" s="3" t="s">
        <v>17</v>
      </c>
      <c r="H26" s="3" t="str">
        <f t="shared" si="0"/>
        <v>040500_en</v>
      </c>
      <c r="I26" s="3" t="str">
        <f t="shared" si="1"/>
        <v>040000_en</v>
      </c>
      <c r="J26" s="3" t="s">
        <v>32</v>
      </c>
      <c r="K26" s="3" t="str">
        <f t="shared" si="2"/>
        <v>Flow to Wells</v>
      </c>
      <c r="L26" s="3" t="s">
        <v>19</v>
      </c>
      <c r="M26" s="3" t="str">
        <f t="shared" si="4"/>
        <v>FALSE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5" t="s">
        <v>46</v>
      </c>
      <c r="B27" s="5" t="s">
        <v>28</v>
      </c>
      <c r="C27" s="9" t="s">
        <v>52</v>
      </c>
      <c r="D27" s="3" t="s">
        <v>53</v>
      </c>
      <c r="E27" s="7"/>
      <c r="F27" s="5" t="s">
        <v>16</v>
      </c>
      <c r="G27" s="5" t="s">
        <v>17</v>
      </c>
      <c r="H27" s="3" t="str">
        <f t="shared" si="0"/>
        <v>040600_en</v>
      </c>
      <c r="I27" s="3" t="str">
        <f t="shared" si="1"/>
        <v>040000_en</v>
      </c>
      <c r="J27" s="5" t="s">
        <v>54</v>
      </c>
      <c r="K27" s="3" t="str">
        <f t="shared" si="2"/>
        <v>Regional Groundwater Flow Systems</v>
      </c>
      <c r="L27" s="3" t="s">
        <v>19</v>
      </c>
      <c r="M27" s="5" t="str">
        <f t="shared" ref="M27:M29" si="5">IF(COUNTIF($I$2:$I$1022,$H27)&gt;0,"TRUE","FALSE")</f>
        <v>FALSE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5" t="s">
        <v>46</v>
      </c>
      <c r="B28" s="5" t="s">
        <v>28</v>
      </c>
      <c r="C28" s="9" t="s">
        <v>55</v>
      </c>
      <c r="D28" s="3" t="s">
        <v>56</v>
      </c>
      <c r="E28" s="7"/>
      <c r="F28" s="5" t="s">
        <v>16</v>
      </c>
      <c r="G28" s="5" t="s">
        <v>17</v>
      </c>
      <c r="H28" s="3" t="str">
        <f t="shared" si="0"/>
        <v>040700_en</v>
      </c>
      <c r="I28" s="3" t="str">
        <f t="shared" si="1"/>
        <v>040000_en</v>
      </c>
      <c r="J28" s="5" t="s">
        <v>57</v>
      </c>
      <c r="K28" s="3" t="str">
        <f t="shared" si="2"/>
        <v>Recharge &amp; Discharge Areas (conceptual)</v>
      </c>
      <c r="L28" s="3" t="s">
        <v>19</v>
      </c>
      <c r="M28" s="5" t="str">
        <f t="shared" si="5"/>
        <v>FALSE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5" t="s">
        <v>46</v>
      </c>
      <c r="B29" s="5" t="s">
        <v>28</v>
      </c>
      <c r="C29" s="9" t="s">
        <v>58</v>
      </c>
      <c r="D29" s="3" t="s">
        <v>59</v>
      </c>
      <c r="E29" s="7"/>
      <c r="F29" s="5" t="s">
        <v>16</v>
      </c>
      <c r="G29" s="5" t="s">
        <v>17</v>
      </c>
      <c r="H29" s="3" t="str">
        <f t="shared" si="0"/>
        <v>040800_en</v>
      </c>
      <c r="I29" s="3" t="str">
        <f t="shared" si="1"/>
        <v>040000_en</v>
      </c>
      <c r="J29" s="5" t="s">
        <v>60</v>
      </c>
      <c r="K29" s="3" t="str">
        <f t="shared" si="2"/>
        <v>Conceptual Hydrogeological Models</v>
      </c>
      <c r="L29" s="3" t="s">
        <v>19</v>
      </c>
      <c r="M29" s="5" t="str">
        <f t="shared" si="5"/>
        <v>FALSE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3" t="s">
        <v>61</v>
      </c>
      <c r="B30" s="3" t="s">
        <v>31</v>
      </c>
      <c r="C30" s="4" t="s">
        <v>15</v>
      </c>
      <c r="D30" s="3" t="s">
        <v>16</v>
      </c>
      <c r="E30" s="3"/>
      <c r="F30" s="5" t="s">
        <v>16</v>
      </c>
      <c r="G30" s="3" t="s">
        <v>17</v>
      </c>
      <c r="H30" s="3" t="str">
        <f t="shared" si="0"/>
        <v>050000_en</v>
      </c>
      <c r="I30" s="3" t="str">
        <f t="shared" si="1"/>
        <v/>
      </c>
      <c r="J30" s="3" t="s">
        <v>57</v>
      </c>
      <c r="K30" s="3" t="str">
        <f t="shared" si="2"/>
        <v>Applied Hydrogeology</v>
      </c>
      <c r="L30" s="3" t="s">
        <v>19</v>
      </c>
      <c r="M30" s="3" t="str">
        <f t="shared" ref="M30:M58" si="6">IF(COUNTIF($I$2:$I$1025,$H30)&gt;0,"TRUE","FALSE")</f>
        <v>TRUE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5">
      <c r="A31" s="3" t="s">
        <v>61</v>
      </c>
      <c r="B31" s="3" t="s">
        <v>31</v>
      </c>
      <c r="C31" s="9" t="s">
        <v>62</v>
      </c>
      <c r="D31" s="3" t="s">
        <v>14</v>
      </c>
      <c r="E31" s="3"/>
      <c r="F31" s="5" t="s">
        <v>16</v>
      </c>
      <c r="G31" s="3" t="s">
        <v>17</v>
      </c>
      <c r="H31" s="3" t="str">
        <f t="shared" si="0"/>
        <v>050100_en</v>
      </c>
      <c r="I31" s="3" t="str">
        <f t="shared" si="1"/>
        <v>050000_en</v>
      </c>
      <c r="J31" s="3" t="s">
        <v>21</v>
      </c>
      <c r="K31" s="3" t="str">
        <f t="shared" si="2"/>
        <v>Groundwater Management</v>
      </c>
      <c r="L31" s="3" t="s">
        <v>19</v>
      </c>
      <c r="M31" s="3" t="str">
        <f t="shared" si="6"/>
        <v>FALSE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5">
      <c r="A32" s="3" t="s">
        <v>61</v>
      </c>
      <c r="B32" s="3" t="s">
        <v>31</v>
      </c>
      <c r="C32" s="9" t="s">
        <v>63</v>
      </c>
      <c r="D32" s="3" t="s">
        <v>23</v>
      </c>
      <c r="E32" s="3"/>
      <c r="F32" s="5" t="s">
        <v>16</v>
      </c>
      <c r="G32" s="3" t="s">
        <v>17</v>
      </c>
      <c r="H32" s="3" t="str">
        <f t="shared" si="0"/>
        <v>050200_en</v>
      </c>
      <c r="I32" s="3" t="str">
        <f t="shared" si="1"/>
        <v>050000_en</v>
      </c>
      <c r="J32" s="3" t="s">
        <v>18</v>
      </c>
      <c r="K32" s="3" t="str">
        <f t="shared" si="2"/>
        <v>Aquifer Testing</v>
      </c>
      <c r="L32" s="3" t="s">
        <v>19</v>
      </c>
      <c r="M32" s="3" t="str">
        <f t="shared" si="6"/>
        <v>FALSE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50">
      <c r="A33" s="3" t="s">
        <v>61</v>
      </c>
      <c r="B33" s="3" t="s">
        <v>31</v>
      </c>
      <c r="C33" s="9" t="s">
        <v>64</v>
      </c>
      <c r="D33" s="3" t="s">
        <v>25</v>
      </c>
      <c r="E33" s="3"/>
      <c r="F33" s="5" t="s">
        <v>16</v>
      </c>
      <c r="G33" s="3" t="s">
        <v>17</v>
      </c>
      <c r="H33" s="3" t="str">
        <f t="shared" si="0"/>
        <v>050300_en</v>
      </c>
      <c r="I33" s="3" t="str">
        <f t="shared" si="1"/>
        <v>050000_en</v>
      </c>
      <c r="J33" s="3" t="s">
        <v>26</v>
      </c>
      <c r="K33" s="3" t="str">
        <f t="shared" si="2"/>
        <v>Groundwater in Water Supply (well fields collector wells superposition)</v>
      </c>
      <c r="L33" s="3" t="s">
        <v>19</v>
      </c>
      <c r="M33" s="3" t="str">
        <f t="shared" si="6"/>
        <v>FALSE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5">
      <c r="A34" s="3" t="s">
        <v>61</v>
      </c>
      <c r="B34" s="3" t="s">
        <v>31</v>
      </c>
      <c r="C34" s="9" t="s">
        <v>65</v>
      </c>
      <c r="D34" s="3" t="s">
        <v>28</v>
      </c>
      <c r="E34" s="3"/>
      <c r="F34" s="5" t="s">
        <v>16</v>
      </c>
      <c r="G34" s="3" t="s">
        <v>17</v>
      </c>
      <c r="H34" s="3" t="str">
        <f t="shared" si="0"/>
        <v>050400_en</v>
      </c>
      <c r="I34" s="3" t="str">
        <f t="shared" si="1"/>
        <v>050000_en</v>
      </c>
      <c r="J34" s="3" t="s">
        <v>29</v>
      </c>
      <c r="K34" s="3" t="str">
        <f t="shared" si="2"/>
        <v>Karst Hydrogeology</v>
      </c>
      <c r="L34" s="3" t="s">
        <v>19</v>
      </c>
      <c r="M34" s="3" t="str">
        <f t="shared" si="6"/>
        <v>FALSE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5">
      <c r="A35" s="3" t="s">
        <v>61</v>
      </c>
      <c r="B35" s="3" t="s">
        <v>31</v>
      </c>
      <c r="C35" s="9" t="s">
        <v>66</v>
      </c>
      <c r="D35" s="3" t="s">
        <v>31</v>
      </c>
      <c r="E35" s="3"/>
      <c r="F35" s="3" t="s">
        <v>16</v>
      </c>
      <c r="G35" s="3" t="s">
        <v>17</v>
      </c>
      <c r="H35" s="3" t="str">
        <f t="shared" si="0"/>
        <v>050500_en</v>
      </c>
      <c r="I35" s="3" t="str">
        <f t="shared" si="1"/>
        <v>050000_en</v>
      </c>
      <c r="J35" s="3" t="s">
        <v>32</v>
      </c>
      <c r="K35" s="3" t="str">
        <f t="shared" si="2"/>
        <v>Freshwater–Saltwater Interaction</v>
      </c>
      <c r="L35" s="3" t="s">
        <v>19</v>
      </c>
      <c r="M35" s="3" t="str">
        <f t="shared" si="6"/>
        <v>FALSE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5">
      <c r="A36" s="3" t="s">
        <v>61</v>
      </c>
      <c r="B36" s="3" t="s">
        <v>31</v>
      </c>
      <c r="C36" s="9" t="s">
        <v>67</v>
      </c>
      <c r="D36" s="3" t="s">
        <v>53</v>
      </c>
      <c r="E36" s="3"/>
      <c r="F36" s="5" t="s">
        <v>16</v>
      </c>
      <c r="G36" s="3" t="s">
        <v>17</v>
      </c>
      <c r="H36" s="3" t="str">
        <f t="shared" si="0"/>
        <v>050600_en</v>
      </c>
      <c r="I36" s="3" t="str">
        <f t="shared" si="1"/>
        <v>050000_en</v>
      </c>
      <c r="J36" s="3" t="s">
        <v>54</v>
      </c>
      <c r="K36" s="3" t="str">
        <f t="shared" si="2"/>
        <v>Conservative Solute Transport</v>
      </c>
      <c r="L36" s="3" t="s">
        <v>19</v>
      </c>
      <c r="M36" s="3" t="str">
        <f t="shared" si="6"/>
        <v>FALSE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5">
      <c r="A37" s="3" t="s">
        <v>61</v>
      </c>
      <c r="B37" s="3" t="s">
        <v>31</v>
      </c>
      <c r="C37" s="9" t="s">
        <v>68</v>
      </c>
      <c r="D37" s="3" t="s">
        <v>56</v>
      </c>
      <c r="E37" s="3"/>
      <c r="F37" s="5" t="s">
        <v>16</v>
      </c>
      <c r="G37" s="3" t="s">
        <v>17</v>
      </c>
      <c r="H37" s="3" t="str">
        <f t="shared" si="0"/>
        <v>050700_en</v>
      </c>
      <c r="I37" s="3" t="str">
        <f t="shared" si="1"/>
        <v>050000_en</v>
      </c>
      <c r="J37" s="3" t="s">
        <v>57</v>
      </c>
      <c r="K37" s="3" t="str">
        <f t="shared" si="2"/>
        <v>Reactive Transport</v>
      </c>
      <c r="L37" s="3" t="s">
        <v>19</v>
      </c>
      <c r="M37" s="3" t="str">
        <f t="shared" si="6"/>
        <v>FALSE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7.5">
      <c r="A38" s="3" t="s">
        <v>61</v>
      </c>
      <c r="B38" s="3" t="s">
        <v>31</v>
      </c>
      <c r="C38" s="9" t="s">
        <v>69</v>
      </c>
      <c r="D38" s="3" t="s">
        <v>59</v>
      </c>
      <c r="E38" s="3"/>
      <c r="F38" s="5" t="s">
        <v>16</v>
      </c>
      <c r="G38" s="3" t="s">
        <v>17</v>
      </c>
      <c r="H38" s="3" t="str">
        <f t="shared" si="0"/>
        <v>050800_en</v>
      </c>
      <c r="I38" s="3" t="str">
        <f t="shared" si="1"/>
        <v>050000_en</v>
      </c>
      <c r="J38" s="3" t="s">
        <v>60</v>
      </c>
      <c r="K38" s="3" t="str">
        <f t="shared" si="2"/>
        <v>Groundwater Contamination &amp; Remediation</v>
      </c>
      <c r="L38" s="3" t="s">
        <v>19</v>
      </c>
      <c r="M38" s="3" t="str">
        <f t="shared" si="6"/>
        <v>FALSE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5">
      <c r="A39" s="3" t="s">
        <v>61</v>
      </c>
      <c r="B39" s="3" t="s">
        <v>31</v>
      </c>
      <c r="C39" s="9" t="s">
        <v>70</v>
      </c>
      <c r="D39" s="3" t="s">
        <v>71</v>
      </c>
      <c r="E39" s="3"/>
      <c r="F39" s="5" t="s">
        <v>16</v>
      </c>
      <c r="G39" s="3" t="s">
        <v>17</v>
      </c>
      <c r="H39" s="3" t="str">
        <f t="shared" si="0"/>
        <v>050900_en</v>
      </c>
      <c r="I39" s="3" t="str">
        <f t="shared" si="1"/>
        <v>050000_en</v>
      </c>
      <c r="J39" s="3" t="s">
        <v>72</v>
      </c>
      <c r="K39" s="3" t="str">
        <f t="shared" si="2"/>
        <v>Managed Aquifer Recharge (MAR)</v>
      </c>
      <c r="L39" s="3" t="s">
        <v>19</v>
      </c>
      <c r="M39" s="3" t="str">
        <f t="shared" si="6"/>
        <v>FALSE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50">
      <c r="A40" s="3" t="s">
        <v>61</v>
      </c>
      <c r="B40" s="3" t="s">
        <v>31</v>
      </c>
      <c r="C40" s="9" t="s">
        <v>73</v>
      </c>
      <c r="D40" s="3" t="s">
        <v>74</v>
      </c>
      <c r="E40" s="3"/>
      <c r="F40" s="5" t="s">
        <v>16</v>
      </c>
      <c r="G40" s="3" t="s">
        <v>17</v>
      </c>
      <c r="H40" s="3" t="str">
        <f t="shared" si="0"/>
        <v>051000_en</v>
      </c>
      <c r="I40" s="3" t="str">
        <f t="shared" si="1"/>
        <v>050000_en</v>
      </c>
      <c r="J40" s="3" t="s">
        <v>74</v>
      </c>
      <c r="K40" s="3" t="str">
        <f t="shared" si="2"/>
        <v>Groundwater–Surface Water Ecology &amp; Dependent Ecosystems</v>
      </c>
      <c r="L40" s="3" t="s">
        <v>19</v>
      </c>
      <c r="M40" s="3" t="str">
        <f t="shared" si="6"/>
        <v>FALSE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50">
      <c r="A41" s="3" t="s">
        <v>61</v>
      </c>
      <c r="B41" s="3" t="s">
        <v>31</v>
      </c>
      <c r="C41" s="9" t="s">
        <v>75</v>
      </c>
      <c r="D41" s="3" t="s">
        <v>76</v>
      </c>
      <c r="E41" s="3"/>
      <c r="F41" s="3" t="s">
        <v>16</v>
      </c>
      <c r="G41" s="3" t="s">
        <v>17</v>
      </c>
      <c r="H41" s="3" t="str">
        <f t="shared" si="0"/>
        <v>051100_en</v>
      </c>
      <c r="I41" s="3" t="str">
        <f t="shared" si="1"/>
        <v>050000_en</v>
      </c>
      <c r="J41" s="3" t="s">
        <v>76</v>
      </c>
      <c r="K41" s="3" t="str">
        <f t="shared" si="2"/>
        <v>Climate Change Impacts &amp; Groundwater Sustainability</v>
      </c>
      <c r="L41" s="3" t="s">
        <v>19</v>
      </c>
      <c r="M41" s="3" t="str">
        <f t="shared" si="6"/>
        <v>FALSE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7.5">
      <c r="A42" s="3" t="s">
        <v>61</v>
      </c>
      <c r="B42" s="3" t="s">
        <v>31</v>
      </c>
      <c r="C42" s="9" t="s">
        <v>77</v>
      </c>
      <c r="D42" s="3" t="s">
        <v>78</v>
      </c>
      <c r="E42" s="3"/>
      <c r="F42" s="5" t="s">
        <v>16</v>
      </c>
      <c r="G42" s="3" t="s">
        <v>17</v>
      </c>
      <c r="H42" s="3" t="str">
        <f t="shared" si="0"/>
        <v>051200_en</v>
      </c>
      <c r="I42" s="3" t="str">
        <f t="shared" si="1"/>
        <v>050000_en</v>
      </c>
      <c r="J42" s="3" t="s">
        <v>78</v>
      </c>
      <c r="K42" s="3" t="str">
        <f t="shared" si="2"/>
        <v>Groundwater Chemistry &amp; Geochemistry</v>
      </c>
      <c r="L42" s="3" t="s">
        <v>19</v>
      </c>
      <c r="M42" s="3" t="str">
        <f t="shared" si="6"/>
        <v>FALSE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7.5">
      <c r="A43" s="3" t="s">
        <v>61</v>
      </c>
      <c r="B43" s="3" t="s">
        <v>31</v>
      </c>
      <c r="C43" s="9" t="s">
        <v>79</v>
      </c>
      <c r="D43" s="3" t="s">
        <v>80</v>
      </c>
      <c r="E43" s="3"/>
      <c r="F43" s="5" t="s">
        <v>16</v>
      </c>
      <c r="G43" s="3" t="s">
        <v>17</v>
      </c>
      <c r="H43" s="3" t="str">
        <f t="shared" si="0"/>
        <v>051300_en</v>
      </c>
      <c r="I43" s="3" t="str">
        <f t="shared" si="1"/>
        <v>050000_en</v>
      </c>
      <c r="J43" s="3" t="s">
        <v>80</v>
      </c>
      <c r="K43" s="3" t="str">
        <f t="shared" si="2"/>
        <v>Environmental Tracers &amp; Isotope Hydrogeology</v>
      </c>
      <c r="L43" s="3" t="s">
        <v>19</v>
      </c>
      <c r="M43" s="3" t="str">
        <f t="shared" si="6"/>
        <v>FALSE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7.5">
      <c r="A44" s="3" t="s">
        <v>61</v>
      </c>
      <c r="B44" s="3" t="s">
        <v>31</v>
      </c>
      <c r="C44" s="9" t="s">
        <v>81</v>
      </c>
      <c r="D44" s="3" t="s">
        <v>82</v>
      </c>
      <c r="E44" s="3"/>
      <c r="F44" s="5" t="s">
        <v>16</v>
      </c>
      <c r="G44" s="3" t="s">
        <v>17</v>
      </c>
      <c r="H44" s="3" t="str">
        <f t="shared" si="0"/>
        <v>051400_en</v>
      </c>
      <c r="I44" s="3" t="str">
        <f t="shared" si="1"/>
        <v>050000_en</v>
      </c>
      <c r="J44" s="3" t="s">
        <v>82</v>
      </c>
      <c r="K44" s="3" t="str">
        <f t="shared" si="2"/>
        <v>Groundwater Heat Flow &amp; Geothermal Systems</v>
      </c>
      <c r="L44" s="3" t="s">
        <v>19</v>
      </c>
      <c r="M44" s="3" t="str">
        <f t="shared" si="6"/>
        <v>FALSE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50">
      <c r="A45" s="3" t="s">
        <v>61</v>
      </c>
      <c r="B45" s="3" t="s">
        <v>31</v>
      </c>
      <c r="C45" s="9" t="s">
        <v>83</v>
      </c>
      <c r="D45" s="3" t="s">
        <v>84</v>
      </c>
      <c r="E45" s="3"/>
      <c r="F45" s="5" t="s">
        <v>16</v>
      </c>
      <c r="G45" s="3" t="s">
        <v>17</v>
      </c>
      <c r="H45" s="3" t="str">
        <f t="shared" si="0"/>
        <v>051500_en</v>
      </c>
      <c r="I45" s="3" t="str">
        <f t="shared" si="1"/>
        <v>050000_en</v>
      </c>
      <c r="J45" s="3" t="s">
        <v>84</v>
      </c>
      <c r="K45" s="3" t="str">
        <f t="shared" si="2"/>
        <v>Field &amp; Subsurface Investigation Methods (drilling, logging, geophysics)</v>
      </c>
      <c r="L45" s="3" t="s">
        <v>19</v>
      </c>
      <c r="M45" s="3" t="str">
        <f t="shared" si="6"/>
        <v>FALSE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5">
      <c r="A46" s="3" t="s">
        <v>85</v>
      </c>
      <c r="B46" s="3" t="s">
        <v>53</v>
      </c>
      <c r="C46" s="4" t="s">
        <v>15</v>
      </c>
      <c r="D46" s="3" t="s">
        <v>16</v>
      </c>
      <c r="E46" s="3"/>
      <c r="F46" s="5" t="s">
        <v>16</v>
      </c>
      <c r="G46" s="3" t="s">
        <v>17</v>
      </c>
      <c r="H46" s="3" t="str">
        <f t="shared" si="0"/>
        <v>060000_en</v>
      </c>
      <c r="I46" s="3" t="str">
        <f t="shared" si="1"/>
        <v/>
      </c>
      <c r="J46" s="3" t="s">
        <v>54</v>
      </c>
      <c r="K46" s="3" t="str">
        <f t="shared" si="2"/>
        <v>Ground Water Modelling</v>
      </c>
      <c r="L46" s="3" t="s">
        <v>19</v>
      </c>
      <c r="M46" s="3" t="str">
        <f t="shared" si="6"/>
        <v>TRUE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5">
      <c r="A47" s="3" t="s">
        <v>85</v>
      </c>
      <c r="B47" s="3" t="s">
        <v>53</v>
      </c>
      <c r="C47" s="7" t="s">
        <v>86</v>
      </c>
      <c r="D47" s="3" t="s">
        <v>14</v>
      </c>
      <c r="E47" s="3"/>
      <c r="F47" s="5" t="s">
        <v>16</v>
      </c>
      <c r="G47" s="3" t="s">
        <v>17</v>
      </c>
      <c r="H47" s="3" t="str">
        <f t="shared" si="0"/>
        <v>060100_en</v>
      </c>
      <c r="I47" s="3" t="str">
        <f t="shared" si="1"/>
        <v>060000_en</v>
      </c>
      <c r="J47" s="3" t="s">
        <v>21</v>
      </c>
      <c r="K47" s="3" t="str">
        <f t="shared" si="2"/>
        <v>Conceptual Model Development</v>
      </c>
      <c r="L47" s="3" t="s">
        <v>19</v>
      </c>
      <c r="M47" s="3" t="str">
        <f t="shared" si="6"/>
        <v>FALSE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5">
      <c r="A48" s="3" t="s">
        <v>85</v>
      </c>
      <c r="B48" s="3" t="s">
        <v>53</v>
      </c>
      <c r="C48" s="7" t="s">
        <v>87</v>
      </c>
      <c r="D48" s="3" t="s">
        <v>23</v>
      </c>
      <c r="E48" s="3"/>
      <c r="F48" s="5" t="s">
        <v>16</v>
      </c>
      <c r="G48" s="3" t="s">
        <v>17</v>
      </c>
      <c r="H48" s="3" t="str">
        <f t="shared" si="0"/>
        <v>060200_en</v>
      </c>
      <c r="I48" s="3" t="str">
        <f t="shared" si="1"/>
        <v>060000_en</v>
      </c>
      <c r="J48" s="3" t="s">
        <v>18</v>
      </c>
      <c r="K48" s="3" t="str">
        <f t="shared" si="2"/>
        <v>Numerical Schemes (FD</v>
      </c>
      <c r="L48" s="3" t="s">
        <v>19</v>
      </c>
      <c r="M48" s="3" t="str">
        <f t="shared" si="6"/>
        <v>FALSE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5">
      <c r="A49" s="3" t="s">
        <v>85</v>
      </c>
      <c r="B49" s="3" t="s">
        <v>53</v>
      </c>
      <c r="C49" s="7" t="s">
        <v>88</v>
      </c>
      <c r="D49" s="3" t="s">
        <v>25</v>
      </c>
      <c r="E49" s="3"/>
      <c r="F49" s="5" t="s">
        <v>16</v>
      </c>
      <c r="G49" s="3" t="s">
        <v>17</v>
      </c>
      <c r="H49" s="3" t="str">
        <f t="shared" si="0"/>
        <v>060300_en</v>
      </c>
      <c r="I49" s="3" t="str">
        <f t="shared" si="1"/>
        <v>060000_en</v>
      </c>
      <c r="J49" s="3" t="s">
        <v>26</v>
      </c>
      <c r="K49" s="3" t="str">
        <f t="shared" si="2"/>
        <v>Flow Modelling</v>
      </c>
      <c r="L49" s="3" t="s">
        <v>19</v>
      </c>
      <c r="M49" s="3" t="str">
        <f t="shared" si="6"/>
        <v>FALSE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5">
      <c r="A50" s="3" t="s">
        <v>85</v>
      </c>
      <c r="B50" s="3" t="s">
        <v>53</v>
      </c>
      <c r="C50" s="7" t="s">
        <v>89</v>
      </c>
      <c r="D50" s="3" t="s">
        <v>28</v>
      </c>
      <c r="E50" s="3"/>
      <c r="F50" s="5" t="s">
        <v>16</v>
      </c>
      <c r="G50" s="3" t="s">
        <v>17</v>
      </c>
      <c r="H50" s="3" t="str">
        <f t="shared" si="0"/>
        <v>060400_en</v>
      </c>
      <c r="I50" s="3" t="str">
        <f t="shared" si="1"/>
        <v>060000_en</v>
      </c>
      <c r="J50" s="3" t="s">
        <v>29</v>
      </c>
      <c r="K50" s="3" t="str">
        <f t="shared" si="2"/>
        <v>Transport Modelling</v>
      </c>
      <c r="L50" s="3" t="s">
        <v>19</v>
      </c>
      <c r="M50" s="3" t="str">
        <f t="shared" si="6"/>
        <v>FALSE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5">
      <c r="A51" s="3" t="s">
        <v>85</v>
      </c>
      <c r="B51" s="3" t="s">
        <v>53</v>
      </c>
      <c r="C51" s="7" t="s">
        <v>90</v>
      </c>
      <c r="D51" s="3" t="s">
        <v>31</v>
      </c>
      <c r="E51" s="3"/>
      <c r="F51" s="3" t="s">
        <v>16</v>
      </c>
      <c r="G51" s="3" t="s">
        <v>17</v>
      </c>
      <c r="H51" s="3" t="str">
        <f t="shared" si="0"/>
        <v>060500_en</v>
      </c>
      <c r="I51" s="3" t="str">
        <f t="shared" si="1"/>
        <v>060000_en</v>
      </c>
      <c r="J51" s="3" t="s">
        <v>32</v>
      </c>
      <c r="K51" s="3" t="str">
        <f t="shared" si="2"/>
        <v>Coupled Models (density</v>
      </c>
      <c r="L51" s="3" t="s">
        <v>19</v>
      </c>
      <c r="M51" s="3" t="str">
        <f t="shared" si="6"/>
        <v>FALSE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">
      <c r="A52" s="3" t="s">
        <v>85</v>
      </c>
      <c r="B52" s="3" t="s">
        <v>53</v>
      </c>
      <c r="C52" s="7" t="s">
        <v>91</v>
      </c>
      <c r="D52" s="3" t="s">
        <v>53</v>
      </c>
      <c r="E52" s="3"/>
      <c r="F52" s="5" t="s">
        <v>16</v>
      </c>
      <c r="G52" s="3" t="s">
        <v>17</v>
      </c>
      <c r="H52" s="3" t="str">
        <f t="shared" si="0"/>
        <v>060600_en</v>
      </c>
      <c r="I52" s="3" t="str">
        <f t="shared" si="1"/>
        <v>060000_en</v>
      </c>
      <c r="J52" s="3" t="s">
        <v>54</v>
      </c>
      <c r="K52" s="3" t="str">
        <f t="shared" si="2"/>
        <v>Parameter Estimation &amp; Calibration</v>
      </c>
      <c r="L52" s="3" t="s">
        <v>19</v>
      </c>
      <c r="M52" s="3" t="str">
        <f t="shared" si="6"/>
        <v>FALSE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">
      <c r="A53" s="3" t="s">
        <v>85</v>
      </c>
      <c r="B53" s="3" t="s">
        <v>53</v>
      </c>
      <c r="C53" s="7" t="s">
        <v>92</v>
      </c>
      <c r="D53" s="3" t="s">
        <v>56</v>
      </c>
      <c r="E53" s="3"/>
      <c r="F53" s="5" t="s">
        <v>16</v>
      </c>
      <c r="G53" s="3" t="s">
        <v>17</v>
      </c>
      <c r="H53" s="3" t="str">
        <f t="shared" si="0"/>
        <v>060700_en</v>
      </c>
      <c r="I53" s="3" t="str">
        <f t="shared" si="1"/>
        <v>060000_en</v>
      </c>
      <c r="J53" s="3" t="s">
        <v>57</v>
      </c>
      <c r="K53" s="3" t="str">
        <f t="shared" si="2"/>
        <v>Sensitivity &amp; Uncertainty Analysis</v>
      </c>
      <c r="L53" s="3" t="s">
        <v>19</v>
      </c>
      <c r="M53" s="3" t="str">
        <f t="shared" si="6"/>
        <v>FALSE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5">
      <c r="A54" s="3" t="s">
        <v>85</v>
      </c>
      <c r="B54" s="3" t="s">
        <v>53</v>
      </c>
      <c r="C54" s="7" t="s">
        <v>93</v>
      </c>
      <c r="D54" s="3" t="s">
        <v>59</v>
      </c>
      <c r="E54" s="3"/>
      <c r="F54" s="5" t="s">
        <v>16</v>
      </c>
      <c r="G54" s="3" t="s">
        <v>17</v>
      </c>
      <c r="H54" s="3" t="str">
        <f t="shared" si="0"/>
        <v>060800_en</v>
      </c>
      <c r="I54" s="3" t="str">
        <f t="shared" si="1"/>
        <v>060000_en</v>
      </c>
      <c r="J54" s="3" t="s">
        <v>60</v>
      </c>
      <c r="K54" s="3" t="str">
        <f t="shared" si="2"/>
        <v>Model Validation &amp; Verification</v>
      </c>
      <c r="L54" s="3" t="s">
        <v>19</v>
      </c>
      <c r="M54" s="3" t="str">
        <f t="shared" si="6"/>
        <v>FALSE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5">
      <c r="A55" s="3" t="s">
        <v>85</v>
      </c>
      <c r="B55" s="3" t="s">
        <v>53</v>
      </c>
      <c r="C55" s="7" t="s">
        <v>94</v>
      </c>
      <c r="D55" s="3" t="s">
        <v>71</v>
      </c>
      <c r="E55" s="3"/>
      <c r="F55" s="5" t="s">
        <v>16</v>
      </c>
      <c r="G55" s="3" t="s">
        <v>17</v>
      </c>
      <c r="H55" s="3" t="str">
        <f t="shared" si="0"/>
        <v>060900_en</v>
      </c>
      <c r="I55" s="3" t="str">
        <f t="shared" si="1"/>
        <v>060000_en</v>
      </c>
      <c r="J55" s="3" t="s">
        <v>72</v>
      </c>
      <c r="K55" s="3" t="str">
        <f t="shared" si="2"/>
        <v>MODFLOW Packages &amp; Tools</v>
      </c>
      <c r="L55" s="3" t="s">
        <v>19</v>
      </c>
      <c r="M55" s="3" t="str">
        <f t="shared" si="6"/>
        <v>FALSE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5">
      <c r="A56" s="3" t="s">
        <v>85</v>
      </c>
      <c r="B56" s="3" t="s">
        <v>53</v>
      </c>
      <c r="C56" s="7" t="s">
        <v>95</v>
      </c>
      <c r="D56" s="3" t="s">
        <v>74</v>
      </c>
      <c r="E56" s="3"/>
      <c r="F56" s="5" t="s">
        <v>16</v>
      </c>
      <c r="G56" s="3" t="s">
        <v>17</v>
      </c>
      <c r="H56" s="3" t="str">
        <f t="shared" si="0"/>
        <v>061000_en</v>
      </c>
      <c r="I56" s="3" t="str">
        <f t="shared" si="1"/>
        <v>060000_en</v>
      </c>
      <c r="J56" s="3" t="s">
        <v>74</v>
      </c>
      <c r="K56" s="3" t="str">
        <f t="shared" si="2"/>
        <v>Data-Driven &amp; Machine Learning Approaches</v>
      </c>
      <c r="L56" s="3" t="s">
        <v>19</v>
      </c>
      <c r="M56" s="3" t="str">
        <f t="shared" si="6"/>
        <v>FALSE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7.5">
      <c r="A57" s="3" t="s">
        <v>85</v>
      </c>
      <c r="B57" s="3" t="s">
        <v>53</v>
      </c>
      <c r="C57" s="7" t="s">
        <v>96</v>
      </c>
      <c r="D57" s="3" t="s">
        <v>76</v>
      </c>
      <c r="E57" s="3"/>
      <c r="F57" s="3" t="s">
        <v>16</v>
      </c>
      <c r="G57" s="3" t="s">
        <v>17</v>
      </c>
      <c r="H57" s="3" t="str">
        <f t="shared" si="0"/>
        <v>061100_en</v>
      </c>
      <c r="I57" s="3" t="str">
        <f t="shared" si="1"/>
        <v>060000_en</v>
      </c>
      <c r="J57" s="3" t="s">
        <v>76</v>
      </c>
      <c r="K57" s="3" t="str">
        <f t="shared" si="2"/>
        <v>Scenario Analysis &amp; Decision-Support Modelling</v>
      </c>
      <c r="L57" s="3" t="s">
        <v>19</v>
      </c>
      <c r="M57" s="3" t="str">
        <f t="shared" si="6"/>
        <v>FALSE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5">
      <c r="A58" s="3" t="s">
        <v>85</v>
      </c>
      <c r="B58" s="3" t="s">
        <v>53</v>
      </c>
      <c r="C58" s="7" t="s">
        <v>97</v>
      </c>
      <c r="D58" s="3" t="s">
        <v>78</v>
      </c>
      <c r="E58" s="3"/>
      <c r="F58" s="5" t="s">
        <v>16</v>
      </c>
      <c r="G58" s="3" t="s">
        <v>17</v>
      </c>
      <c r="H58" s="3" t="str">
        <f t="shared" si="0"/>
        <v>061200_en</v>
      </c>
      <c r="I58" s="3" t="str">
        <f t="shared" si="1"/>
        <v>060000_en</v>
      </c>
      <c r="J58" s="3" t="s">
        <v>78</v>
      </c>
      <c r="K58" s="3" t="str">
        <f t="shared" si="2"/>
        <v>Geostatistics &amp; Spatial Variability in Modelling</v>
      </c>
      <c r="L58" s="3" t="s">
        <v>19</v>
      </c>
      <c r="M58" s="3" t="str">
        <f t="shared" si="6"/>
        <v>FALSE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5">
      <c r="A59" s="3"/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5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5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5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5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5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5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5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5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5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5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5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5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5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5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5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5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5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5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5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5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5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5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5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5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5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5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5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5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5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5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5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5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5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5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5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5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5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5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5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5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5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5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5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5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5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5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5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5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5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5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5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5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5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5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5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5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5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5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5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5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5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5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5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5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5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5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5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5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5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5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5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5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5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5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5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5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5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5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5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5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5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5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5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5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5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5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5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5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5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5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5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5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5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5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5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5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5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5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5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5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5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5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5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5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5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5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5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5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5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5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5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5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5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5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5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5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5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5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5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5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5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5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5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5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5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5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5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5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5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5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5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5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5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5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5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5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5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5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5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5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5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5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5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5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5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5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5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5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5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5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5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5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5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5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5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5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5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5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5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5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5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5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5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5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5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5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5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5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5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5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5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5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5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5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5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5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5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5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5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5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5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5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5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5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5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5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5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5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5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5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5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5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5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5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5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5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5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5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5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5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5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5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5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5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5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5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5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5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5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5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5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5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5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5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5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5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5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5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5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5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5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5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5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5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5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5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5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5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5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5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5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5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5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5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5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5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5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5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5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5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5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5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5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5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5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5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5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5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5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5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5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5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5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5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5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5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5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5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5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5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5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5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5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5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5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5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5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5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5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5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5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5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5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5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5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5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5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5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5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5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5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5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5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5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5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5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5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5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5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5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5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5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5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5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5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5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5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5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5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5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5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5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5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5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5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5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5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5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5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5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5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5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5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5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5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5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5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5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5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5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5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5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5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5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5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5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5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5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5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5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5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5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5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5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5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5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5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5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5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5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5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5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5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5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5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5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5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5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5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5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5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5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5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5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5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5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5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5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5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5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5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5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5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5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5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5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5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5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5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5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5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5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5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5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5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5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5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5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5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5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5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5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5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5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5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5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5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5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5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5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5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5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5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5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5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5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5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5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5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5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5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5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5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5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5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5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5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5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5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5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5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5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5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5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5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5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5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5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5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5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5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5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5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5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5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5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5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5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5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5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5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5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5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5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5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5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5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5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5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5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5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5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5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5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5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5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5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5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5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5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5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5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5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5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5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5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5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5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5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5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5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5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5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5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5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5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5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5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5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5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5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5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5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5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5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5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5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5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5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5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5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5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5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5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5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5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5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5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5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5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5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5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5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5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5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5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5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5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5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5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5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5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5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5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5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5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5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5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5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5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5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5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5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5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5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5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5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5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5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5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5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5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5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5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5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5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5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5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5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5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5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5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5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5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5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5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5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5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5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5">
      <c r="A999" s="3"/>
      <c r="B999" s="3"/>
      <c r="C999" s="4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5">
      <c r="A1000" s="3"/>
      <c r="B1000" s="3"/>
      <c r="C1000" s="4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5">
      <c r="A1001" s="3"/>
      <c r="B1001" s="3"/>
      <c r="C1001" s="4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5">
      <c r="A1002" s="3"/>
      <c r="B1002" s="3"/>
      <c r="C1002" s="4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5">
      <c r="A1003" s="3"/>
      <c r="B1003" s="3"/>
      <c r="C1003" s="4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5">
      <c r="A1004" s="3"/>
      <c r="B1004" s="3"/>
      <c r="C1004" s="4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5">
      <c r="A1005" s="3"/>
      <c r="B1005" s="3"/>
      <c r="C1005" s="4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5">
      <c r="A1006" s="3"/>
      <c r="B1006" s="3"/>
      <c r="C1006" s="4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5">
      <c r="A1007" s="3"/>
      <c r="B1007" s="3"/>
      <c r="C1007" s="4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5">
      <c r="A1008" s="3"/>
      <c r="B1008" s="3"/>
      <c r="C1008" s="4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5">
      <c r="A1009" s="3"/>
      <c r="B1009" s="3"/>
      <c r="C1009" s="4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5">
      <c r="A1010" s="3"/>
      <c r="B1010" s="3"/>
      <c r="C1010" s="4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5">
      <c r="A1011" s="3"/>
      <c r="B1011" s="3"/>
      <c r="C1011" s="4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5">
      <c r="A1012" s="3"/>
      <c r="B1012" s="3"/>
      <c r="C1012" s="4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5">
      <c r="A1013" s="3"/>
      <c r="B1013" s="3"/>
      <c r="C1013" s="4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2.5">
      <c r="A1014" s="3"/>
      <c r="B1014" s="3"/>
      <c r="C1014" s="4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2.5">
      <c r="A1015" s="3"/>
      <c r="B1015" s="3"/>
      <c r="C1015" s="4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2.5">
      <c r="A1016" s="3"/>
      <c r="B1016" s="3"/>
      <c r="C1016" s="4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2.5">
      <c r="A1017" s="3"/>
      <c r="B1017" s="3"/>
      <c r="C1017" s="4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2.5">
      <c r="A1018" s="3"/>
      <c r="B1018" s="3"/>
      <c r="C1018" s="4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2.5">
      <c r="A1019" s="3"/>
      <c r="B1019" s="3"/>
      <c r="C1019" s="4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2.5">
      <c r="A1020" s="3"/>
      <c r="B1020" s="3"/>
      <c r="C1020" s="4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2.5">
      <c r="A1021" s="3"/>
      <c r="B1021" s="3"/>
      <c r="C1021" s="4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2.5">
      <c r="A1022" s="3"/>
      <c r="B1022" s="3"/>
      <c r="C1022" s="4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2.5">
      <c r="A1023" s="3"/>
      <c r="B1023" s="3"/>
      <c r="C1023" s="4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2.5">
      <c r="A1024" s="3"/>
      <c r="B1024" s="3"/>
      <c r="C1024" s="4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2.5">
      <c r="A1025" s="3"/>
      <c r="B1025" s="3"/>
      <c r="C1025" s="4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2.5">
      <c r="A1026" s="3"/>
      <c r="B1026" s="3"/>
      <c r="C1026" s="4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2.5">
      <c r="A1027" s="3"/>
      <c r="B1027" s="3"/>
      <c r="C1027" s="4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2.5">
      <c r="A1028" s="3"/>
      <c r="B1028" s="3"/>
      <c r="C1028" s="4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</sheetData>
  <conditionalFormatting sqref="J2:J1028">
    <cfRule type="expression" dxfId="0" priority="1">
      <formula>COUNTIFS($I$2:$I$1025,$I2,$J$2:$J$1025,$J2)&gt;1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SINHA - 120904252</cp:lastModifiedBy>
  <dcterms:modified xsi:type="dcterms:W3CDTF">2025-12-05T01:26:23Z</dcterms:modified>
</cp:coreProperties>
</file>